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927D297-5963-4C63-8430-2315E68CB642}" xr6:coauthVersionLast="47" xr6:coauthVersionMax="47" xr10:uidLastSave="{00000000-0000-0000-0000-000000000000}"/>
  <bookViews>
    <workbookView xWindow="-110" yWindow="-110" windowWidth="19420" windowHeight="10300" xr2:uid="{799B2CFF-92B7-486E-A1FF-1CFBB9D6AF08}"/>
  </bookViews>
  <sheets>
    <sheet name="sheet" sheetId="1" r:id="rId1"/>
    <sheet name="XDO_METADATA" sheetId="2" state="hidden" r:id="rId2"/>
  </sheets>
  <definedNames>
    <definedName name="XDO_?XDOFIELD1?">sheet!$A$9:$A$10</definedName>
    <definedName name="XDO_?XDOFIELD10?">#REF!</definedName>
    <definedName name="XDO_?XDOFIELD11?">#REF!</definedName>
    <definedName name="XDO_?XDOFIELD12?">#REF!</definedName>
    <definedName name="XDO_?XDOFIELD13?">#REF!</definedName>
    <definedName name="XDO_?XDOFIELD14?">#REF!</definedName>
    <definedName name="XDO_?XDOFIELD15?">sheet!$B$3:$B$9</definedName>
    <definedName name="XDO_?XDOFIELD16?">#REF!</definedName>
    <definedName name="XDO_?XDOFIELD17?">sheet!#REF!</definedName>
    <definedName name="XDO_?XDOFIELD18?">sheet!#REF!</definedName>
    <definedName name="XDO_?XDOFIELD19?">#REF!</definedName>
    <definedName name="XDO_?XDOFIELD2?">sheet!$B$9:$B$10</definedName>
    <definedName name="XDO_?XDOFIELD20?">#REF!</definedName>
    <definedName name="XDO_?XDOFIELD21?">sheet!$E$3:$E$9</definedName>
    <definedName name="XDO_?XDOFIELD22?">sheet!$H$9:$H$10</definedName>
    <definedName name="XDO_?XDOFIELD23?">#REF!</definedName>
    <definedName name="XDO_?XDOFIELD24?">sheet!$D$9:$D$10</definedName>
    <definedName name="XDO_?XDOFIELD25?">sheet!#REF!</definedName>
    <definedName name="XDO_?XDOFIELD26?">sheet!#REF!</definedName>
    <definedName name="XDO_?XDOFIELD27?">sheet!$G$9:$G$10</definedName>
    <definedName name="XDO_?XDOFIELD28?">sheet!$F$9:$F$10</definedName>
    <definedName name="XDO_?XDOFIELD29?">sheet!$L$9:$L$10</definedName>
    <definedName name="XDO_?XDOFIELD3?">sheet!#REF!</definedName>
    <definedName name="XDO_?XDOFIELD4?">sheet!$E$9:$E$10</definedName>
    <definedName name="XDO_?XDOFIELD5?">#REF!</definedName>
    <definedName name="XDO_?XDOFIELD6?">sheet!$N$9:$N$10</definedName>
    <definedName name="XDO_?XDOFIELD7?">sheet!$O$9:$O$10</definedName>
    <definedName name="XDO_?XDOFIELD8?">#REF!</definedName>
    <definedName name="XDO_?XDOFIELD9?">#REF!</definedName>
    <definedName name="XDO_GROUP_?XDOG1?">sheet!#REF!</definedName>
    <definedName name="XDO_GROUP_?XDOG2?">#REF!</definedName>
    <definedName name="XDO_GROUP_?XDOG3?">sheet!$A$2:$O$10</definedName>
    <definedName name="XDO_GROUP_?XDOG4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" i="1" l="1"/>
  <c r="N16" i="1"/>
</calcChain>
</file>

<file path=xl/sharedStrings.xml><?xml version="1.0" encoding="utf-8"?>
<sst xmlns="http://schemas.openxmlformats.org/spreadsheetml/2006/main" count="152" uniqueCount="109">
  <si>
    <t>Source</t>
  </si>
  <si>
    <t>Category</t>
  </si>
  <si>
    <t>Voucher Number</t>
  </si>
  <si>
    <t>GL Sequence</t>
  </si>
  <si>
    <t>Debit</t>
  </si>
  <si>
    <t>Credit</t>
  </si>
  <si>
    <t>Payables</t>
  </si>
  <si>
    <t>Purchase Invoices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</si>
  <si>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</si>
  <si>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</si>
  <si>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</si>
  <si>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</si>
  <si>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</si>
  <si>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</si>
  <si>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</si>
  <si>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</si>
  <si>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</si>
  <si>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</si>
  <si>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XDO_?XDOFIELD1?</t>
  </si>
  <si>
    <t>&lt;?SOURCE_V2?&gt;</t>
  </si>
  <si>
    <t>XDO_?XDOFIELD2?</t>
  </si>
  <si>
    <t>&lt;?CATEGORY_V2?&gt;</t>
  </si>
  <si>
    <t>XDO_?XDOFIELD3?</t>
  </si>
  <si>
    <t>&lt;?ACCOUNTING_DATE?&gt;</t>
  </si>
  <si>
    <t>XDO_?XDOFIELD4?</t>
  </si>
  <si>
    <t>&lt;?TRANSACTION_NUMBER_V2?&gt;</t>
  </si>
  <si>
    <t>XDO_?XDOFIELD6?</t>
  </si>
  <si>
    <t>&lt;?ACCOUNTED_DR?&gt;</t>
  </si>
  <si>
    <t>XDO_?XDOFIELD7?</t>
  </si>
  <si>
    <t>&lt;?ACCOUNTED_CR?&gt;</t>
  </si>
  <si>
    <t>XDO_GROUP_?XDOG1?</t>
  </si>
  <si>
    <t>&lt;xsl:for-each select=".//G_4"&gt;</t>
  </si>
  <si>
    <t>&lt;/xsl:for-each&gt;</t>
  </si>
  <si>
    <t>XDO_?XDOFIELD8?</t>
  </si>
  <si>
    <t>XDO_?XDOFIELD9?</t>
  </si>
  <si>
    <t>XDO_?XDOFIELD10?</t>
  </si>
  <si>
    <t>XDO_?XDOFIELD11?</t>
  </si>
  <si>
    <t>XDO_?XDOFIELD13?</t>
  </si>
  <si>
    <t>XDO_?XDOFIELD14?</t>
  </si>
  <si>
    <t>XDO_GROUP_?XDOG2?</t>
  </si>
  <si>
    <t>XDO_?XDOFIELD15?</t>
  </si>
  <si>
    <t>&lt;?CODE_COMBINATION_V2?&gt;</t>
  </si>
  <si>
    <t>XDO_?XDOFIELD16?</t>
  </si>
  <si>
    <t>XDO_GROUP_?XDOG3?</t>
  </si>
  <si>
    <t>&lt;xsl:for-each select=".//G_1"&gt;</t>
  </si>
  <si>
    <t>XDO_GROUP_?XDOG4?</t>
  </si>
  <si>
    <t>XDO_?XDOFIELD17?</t>
  </si>
  <si>
    <t>&lt;?ACCOUNT_TOTAL_DR?&gt;</t>
  </si>
  <si>
    <t>XDO_?XDOFIELD18?</t>
  </si>
  <si>
    <t>&lt;?ACCOUNT_TOTAL_CR?&gt;</t>
  </si>
  <si>
    <t>XDO_?XDOFIELD19?</t>
  </si>
  <si>
    <t>XDO_?XDOFIELD20?</t>
  </si>
  <si>
    <t>XDO_?XDOFIELD21?</t>
  </si>
  <si>
    <t>&lt;?PERIOD_NAME_V2?&gt;</t>
  </si>
  <si>
    <t>XDO_?XDOFIELD22?</t>
  </si>
  <si>
    <t>&lt;?BATCH_NAME_V2?&gt;</t>
  </si>
  <si>
    <t>XDO_?XDOFIELD25?</t>
  </si>
  <si>
    <t>&lt;?INVOICE_NUM?&gt;</t>
  </si>
  <si>
    <t>XDO_?XDOFIELD26?</t>
  </si>
  <si>
    <t>&lt;?PARTY_NAME_V2?&gt;</t>
  </si>
  <si>
    <t>XDO_?XDOFIELD27?</t>
  </si>
  <si>
    <t>&lt;?PARTY_NUMBER?&gt;</t>
  </si>
  <si>
    <t>XDO_?XDOFIELD5?</t>
  </si>
  <si>
    <t>XDO_?XDOFIELD12?</t>
  </si>
  <si>
    <t>&lt;?PARTY_NAME_V1?&gt;</t>
  </si>
  <si>
    <t>XDO_?XDOFIELD23?</t>
  </si>
  <si>
    <t>XDO_?XDOFIELD24?</t>
  </si>
  <si>
    <t>&lt;?TRANSACTION_DATE_V2?&gt;</t>
  </si>
  <si>
    <t>XDO_?XDOFIELD28?</t>
  </si>
  <si>
    <t>&lt;?VOUCHER_NUMBER_V2?&gt;</t>
  </si>
  <si>
    <t>XDO_?XDOFIELD29?</t>
  </si>
  <si>
    <t>&lt;?ACCOUNTING_SEQUENCE_NUMBER?&gt;</t>
  </si>
  <si>
    <t>&lt;?JOURNAL_LINE_DESCRIPTION_V2?&gt;</t>
  </si>
  <si>
    <t>AP-Inventory Report</t>
  </si>
  <si>
    <t>Ledger Name:</t>
  </si>
  <si>
    <t>Opening Balance:</t>
  </si>
  <si>
    <t>101-1004-230070102-000-000-0000-0000-0000</t>
  </si>
  <si>
    <t>Juniors Jordan-Al Layan– LAY-Landed Cost Clearing-None-None-None-None-None</t>
  </si>
  <si>
    <t>Juniors Jordan JO</t>
  </si>
  <si>
    <t>Account Combination:</t>
  </si>
  <si>
    <t>Account Combination Description:</t>
  </si>
  <si>
    <t>Period Name:</t>
  </si>
  <si>
    <t>Accounting Date</t>
  </si>
  <si>
    <t>Accounting Class</t>
  </si>
  <si>
    <t>Item expense</t>
  </si>
  <si>
    <t>Supplier Name</t>
  </si>
  <si>
    <t>Venicia International for Restaurant Management</t>
  </si>
  <si>
    <t>Invoice Number</t>
  </si>
  <si>
    <t>Transfer to GL Status</t>
  </si>
  <si>
    <t>Transferred</t>
  </si>
  <si>
    <t>Event Type</t>
  </si>
  <si>
    <t>Invoice Cancelled</t>
  </si>
  <si>
    <t>Invoice Validated</t>
  </si>
  <si>
    <t>251100026..</t>
  </si>
  <si>
    <t>Receipt Accounting</t>
  </si>
  <si>
    <t>Receiving</t>
  </si>
  <si>
    <t>PO Number</t>
  </si>
  <si>
    <t xml:space="preserve">Receipt Number	</t>
  </si>
  <si>
    <t>Item</t>
  </si>
  <si>
    <t>PO - Juniors Jordan -139</t>
  </si>
  <si>
    <t>JO-12201</t>
  </si>
  <si>
    <t>Landed Cost Adjustment for Receipt</t>
  </si>
  <si>
    <t>Alkhat packaging</t>
  </si>
  <si>
    <t>Landed cost clearing</t>
  </si>
  <si>
    <t>112</t>
  </si>
  <si>
    <t>119</t>
  </si>
  <si>
    <t>JO-12100</t>
  </si>
  <si>
    <t>Total:</t>
  </si>
  <si>
    <t>Closing Balance: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</si>
</sst>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363F4C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4" fontId="0" fillId="0" borderId="0" xfId="0" applyNumberFormat="1"/>
    <xf numFmtId="0" fontId="3" fillId="0" borderId="0" xfId="0" applyFont="1"/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4" fillId="0" borderId="0" xfId="0" applyFont="1" applyAlignment="1">
      <alignment horizontal="left" vertical="center"/>
    </xf>
    <xf numFmtId="16" fontId="0" fillId="0" borderId="0" xfId="0" applyNumberFormat="1" applyAlignment="1">
      <alignment horizontal="left" vertical="center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49" fontId="0" fillId="0" borderId="0" xfId="0" applyNumberFormat="1"/>
    <xf numFmtId="49" fontId="3" fillId="0" borderId="0" xfId="0" applyNumberFormat="1" applyFont="1"/>
    <xf numFmtId="49" fontId="3" fillId="2" borderId="0" xfId="0" applyNumberFormat="1" applyFont="1" applyFill="1" applyAlignment="1">
      <alignment horizontal="left"/>
    </xf>
    <xf numFmtId="4" fontId="0" fillId="3" borderId="1" xfId="0" applyNumberFormat="1" applyFill="1" applyBorder="1"/>
    <xf numFmtId="14" fontId="5" fillId="0" borderId="0" xfId="0" applyNumberFormat="1" applyFont="1" applyAlignment="1">
      <alignment horizontal="left" wrapText="1"/>
    </xf>
    <xf numFmtId="0" fontId="1" fillId="2" borderId="1" xfId="0" applyFont="1" applyFill="1" applyBorder="1" applyAlignment="1">
      <alignment horizontal="right"/>
    </xf>
    <xf numFmtId="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A219-C4BB-4C54-B462-0C77E26716ED}">
  <dimension ref="A1:O17"/>
  <sheetViews>
    <sheetView tabSelected="1" topLeftCell="I2" zoomScale="71" workbookViewId="0">
      <selection activeCell="N20" sqref="N20"/>
    </sheetView>
  </sheetViews>
  <sheetFormatPr defaultRowHeight="14.5" x14ac:dyDescent="0.35"/>
  <cols>
    <col min="1" max="1" width="33.26953125" bestFit="1" customWidth="1"/>
    <col min="2" max="2" width="69.54296875" bestFit="1" customWidth="1"/>
    <col min="3" max="3" width="17.7265625" style="14" customWidth="1"/>
    <col min="4" max="5" width="23.6328125" customWidth="1"/>
    <col min="6" max="6" width="28.453125" customWidth="1"/>
    <col min="7" max="7" width="42.7265625" bestFit="1" customWidth="1"/>
    <col min="8" max="8" width="30.54296875" bestFit="1" customWidth="1"/>
    <col min="9" max="11" width="28.453125" customWidth="1"/>
    <col min="12" max="13" width="39.7265625" customWidth="1"/>
    <col min="14" max="14" width="14.81640625" customWidth="1"/>
    <col min="15" max="15" width="14.08984375" customWidth="1"/>
    <col min="16" max="16" width="8.7265625" customWidth="1"/>
  </cols>
  <sheetData>
    <row r="1" spans="1:15" ht="31" customHeight="1" x14ac:dyDescent="0.35">
      <c r="D1" s="1"/>
      <c r="E1" s="1" t="s">
        <v>73</v>
      </c>
      <c r="F1" s="1"/>
      <c r="G1" s="1"/>
      <c r="H1" s="1"/>
      <c r="I1" s="1"/>
      <c r="J1" s="1"/>
      <c r="K1" s="1"/>
    </row>
    <row r="2" spans="1:15" ht="16" customHeight="1" x14ac:dyDescent="0.35">
      <c r="D2" s="1"/>
      <c r="E2" s="1"/>
      <c r="F2" s="1"/>
      <c r="G2" s="1"/>
      <c r="H2" s="1"/>
      <c r="I2" s="1"/>
      <c r="J2" s="1"/>
      <c r="K2" s="1"/>
    </row>
    <row r="3" spans="1:15" ht="15.5" customHeight="1" x14ac:dyDescent="0.35">
      <c r="A3" s="5" t="s">
        <v>79</v>
      </c>
      <c r="B3" s="8" t="s">
        <v>76</v>
      </c>
      <c r="D3" s="6"/>
      <c r="E3" s="9"/>
      <c r="F3" s="6"/>
      <c r="G3" s="6"/>
      <c r="H3" s="6"/>
      <c r="I3" s="6"/>
      <c r="J3" s="6"/>
      <c r="K3" s="6"/>
    </row>
    <row r="4" spans="1:15" ht="15.5" customHeight="1" x14ac:dyDescent="0.35">
      <c r="A4" s="5" t="s">
        <v>80</v>
      </c>
      <c r="B4" t="s">
        <v>77</v>
      </c>
      <c r="C4" s="15"/>
      <c r="D4" s="6"/>
      <c r="E4" s="9"/>
      <c r="F4" s="6"/>
      <c r="G4" s="6"/>
      <c r="H4" s="6"/>
      <c r="I4" s="6"/>
      <c r="J4" s="6"/>
      <c r="K4" s="6"/>
    </row>
    <row r="5" spans="1:15" ht="15.5" customHeight="1" x14ac:dyDescent="0.35">
      <c r="A5" s="5" t="s">
        <v>74</v>
      </c>
      <c r="B5" t="s">
        <v>78</v>
      </c>
      <c r="C5" s="15"/>
      <c r="D5" s="6"/>
      <c r="E5" s="6"/>
      <c r="F5" s="6"/>
      <c r="G5" s="6"/>
      <c r="H5" s="6"/>
      <c r="I5" s="6"/>
      <c r="J5" s="6"/>
      <c r="K5" s="6"/>
    </row>
    <row r="6" spans="1:15" ht="15.5" customHeight="1" x14ac:dyDescent="0.35">
      <c r="A6" s="5" t="s">
        <v>81</v>
      </c>
      <c r="B6" s="10">
        <v>46351</v>
      </c>
      <c r="C6" s="15"/>
      <c r="D6" s="6"/>
      <c r="E6" s="6"/>
      <c r="F6" s="6"/>
      <c r="G6" s="6"/>
      <c r="H6" s="6"/>
      <c r="I6" s="6"/>
      <c r="J6" s="6"/>
      <c r="K6" s="6"/>
    </row>
    <row r="7" spans="1:15" ht="15.5" customHeight="1" x14ac:dyDescent="0.35">
      <c r="A7" s="5" t="s">
        <v>75</v>
      </c>
      <c r="B7" s="11">
        <v>-243.001</v>
      </c>
      <c r="C7" s="15"/>
      <c r="D7" s="6"/>
      <c r="E7" s="6"/>
      <c r="F7" s="6"/>
      <c r="G7" s="6"/>
      <c r="H7" s="6"/>
      <c r="I7" s="6"/>
      <c r="J7" s="6"/>
      <c r="K7" s="6"/>
    </row>
    <row r="8" spans="1:15" ht="17" customHeight="1" x14ac:dyDescent="0.35">
      <c r="A8" s="2" t="s">
        <v>0</v>
      </c>
      <c r="B8" s="2" t="s">
        <v>1</v>
      </c>
      <c r="C8" s="16" t="s">
        <v>82</v>
      </c>
      <c r="D8" s="2" t="s">
        <v>83</v>
      </c>
      <c r="E8" s="2" t="s">
        <v>87</v>
      </c>
      <c r="F8" s="2" t="s">
        <v>2</v>
      </c>
      <c r="G8" s="2" t="s">
        <v>85</v>
      </c>
      <c r="H8" s="2" t="s">
        <v>88</v>
      </c>
      <c r="I8" s="2" t="s">
        <v>96</v>
      </c>
      <c r="J8" s="2" t="s">
        <v>97</v>
      </c>
      <c r="K8" s="2" t="s">
        <v>98</v>
      </c>
      <c r="L8" s="2" t="s">
        <v>3</v>
      </c>
      <c r="M8" s="2" t="s">
        <v>90</v>
      </c>
      <c r="N8" s="3" t="s">
        <v>4</v>
      </c>
      <c r="O8" s="3" t="s">
        <v>5</v>
      </c>
    </row>
    <row r="9" spans="1:15" x14ac:dyDescent="0.35">
      <c r="A9" s="6" t="s">
        <v>6</v>
      </c>
      <c r="B9" s="6" t="s">
        <v>7</v>
      </c>
      <c r="C9" s="12">
        <v>45974</v>
      </c>
      <c r="D9" s="6" t="s">
        <v>84</v>
      </c>
      <c r="E9" s="6">
        <v>251100026</v>
      </c>
      <c r="F9" s="6">
        <v>251110185</v>
      </c>
      <c r="G9" s="6" t="s">
        <v>86</v>
      </c>
      <c r="H9" s="6" t="s">
        <v>89</v>
      </c>
      <c r="I9" s="6"/>
      <c r="J9" s="6"/>
      <c r="K9" s="6"/>
      <c r="L9" s="6">
        <v>255110191</v>
      </c>
      <c r="M9" s="6" t="s">
        <v>91</v>
      </c>
      <c r="N9" s="7"/>
      <c r="O9" s="7">
        <v>102</v>
      </c>
    </row>
    <row r="10" spans="1:15" x14ac:dyDescent="0.35">
      <c r="A10" s="6" t="s">
        <v>6</v>
      </c>
      <c r="B10" s="6" t="s">
        <v>7</v>
      </c>
      <c r="C10" s="12">
        <v>45974</v>
      </c>
      <c r="D10" s="6" t="s">
        <v>84</v>
      </c>
      <c r="E10" t="s">
        <v>93</v>
      </c>
      <c r="F10" s="11">
        <v>251110268</v>
      </c>
      <c r="G10" s="6" t="s">
        <v>86</v>
      </c>
      <c r="H10" s="6" t="s">
        <v>89</v>
      </c>
      <c r="I10" s="11"/>
      <c r="J10" s="11"/>
      <c r="K10" s="11"/>
      <c r="L10" s="11">
        <v>255110192</v>
      </c>
      <c r="M10" t="s">
        <v>92</v>
      </c>
      <c r="N10" s="7">
        <v>102</v>
      </c>
      <c r="O10" s="4"/>
    </row>
    <row r="11" spans="1:15" x14ac:dyDescent="0.35">
      <c r="A11" s="6" t="s">
        <v>6</v>
      </c>
      <c r="B11" s="6" t="s">
        <v>7</v>
      </c>
      <c r="C11" s="13">
        <v>45984</v>
      </c>
      <c r="D11" s="6" t="s">
        <v>84</v>
      </c>
      <c r="E11" s="11">
        <v>251100063</v>
      </c>
      <c r="F11" s="11">
        <v>251110103</v>
      </c>
      <c r="G11" s="6" t="s">
        <v>86</v>
      </c>
      <c r="H11" s="6" t="s">
        <v>89</v>
      </c>
      <c r="I11" s="11"/>
      <c r="J11" s="11"/>
      <c r="K11" s="11"/>
      <c r="L11" s="11">
        <v>255110188</v>
      </c>
      <c r="M11" s="6" t="s">
        <v>91</v>
      </c>
      <c r="N11" s="4">
        <v>1259.17</v>
      </c>
    </row>
    <row r="12" spans="1:15" x14ac:dyDescent="0.35">
      <c r="A12" t="s">
        <v>94</v>
      </c>
      <c r="B12" t="s">
        <v>95</v>
      </c>
      <c r="C12" s="18">
        <v>45990</v>
      </c>
      <c r="D12" t="s">
        <v>103</v>
      </c>
      <c r="G12" t="s">
        <v>102</v>
      </c>
      <c r="H12" s="6" t="s">
        <v>89</v>
      </c>
      <c r="I12" t="s">
        <v>99</v>
      </c>
      <c r="J12" s="11" t="s">
        <v>104</v>
      </c>
      <c r="K12" t="s">
        <v>100</v>
      </c>
      <c r="L12" s="11">
        <v>255110196</v>
      </c>
      <c r="M12" t="s">
        <v>101</v>
      </c>
      <c r="N12" s="4">
        <v>104.08199999999999</v>
      </c>
    </row>
    <row r="13" spans="1:15" x14ac:dyDescent="0.35">
      <c r="A13" t="s">
        <v>94</v>
      </c>
      <c r="B13" t="s">
        <v>95</v>
      </c>
      <c r="C13" s="18">
        <v>45990</v>
      </c>
      <c r="D13" t="s">
        <v>103</v>
      </c>
      <c r="G13" t="s">
        <v>102</v>
      </c>
      <c r="H13" s="6" t="s">
        <v>89</v>
      </c>
      <c r="I13" t="s">
        <v>99</v>
      </c>
      <c r="J13" s="11" t="s">
        <v>105</v>
      </c>
      <c r="K13" t="s">
        <v>100</v>
      </c>
      <c r="L13" s="11">
        <v>255110196</v>
      </c>
      <c r="M13" t="s">
        <v>101</v>
      </c>
      <c r="N13">
        <v>104.08199999999999</v>
      </c>
    </row>
    <row r="14" spans="1:15" x14ac:dyDescent="0.35">
      <c r="C14" s="18">
        <v>45990</v>
      </c>
      <c r="D14" t="s">
        <v>103</v>
      </c>
      <c r="G14" t="s">
        <v>102</v>
      </c>
      <c r="H14" s="6" t="s">
        <v>89</v>
      </c>
      <c r="I14" t="s">
        <v>99</v>
      </c>
      <c r="J14" s="11" t="s">
        <v>104</v>
      </c>
      <c r="K14" t="s">
        <v>106</v>
      </c>
      <c r="L14" s="11">
        <v>255110196</v>
      </c>
      <c r="M14" t="s">
        <v>101</v>
      </c>
      <c r="N14">
        <v>46.482999999999997</v>
      </c>
    </row>
    <row r="16" spans="1:15" x14ac:dyDescent="0.35">
      <c r="M16" s="19" t="s">
        <v>107</v>
      </c>
      <c r="N16" s="17">
        <f>SUM(N10:N15)</f>
        <v>1615.8169999999998</v>
      </c>
      <c r="O16" s="17">
        <f>SUM(O9:O15)</f>
        <v>102</v>
      </c>
    </row>
    <row r="17" spans="13:15" x14ac:dyDescent="0.35">
      <c r="M17" s="19" t="s">
        <v>108</v>
      </c>
      <c r="N17" s="20">
        <v>3396.4780000000001</v>
      </c>
      <c r="O17" s="20"/>
    </row>
  </sheetData>
  <mergeCells count="1">
    <mergeCell ref="N17:O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88AB-C5D2-4E33-A17F-B3B8AD379C3A}">
  <dimension ref="A1:C44"/>
  <sheetViews>
    <sheetView workbookViewId="0"/>
  </sheetViews>
  <sheetFormatPr defaultRowHeight="14.5" x14ac:dyDescent="0.35"/>
  <sheetData>
    <row r="1" spans="1:2" x14ac:dyDescent="0.35">
      <c r="A1" t="s">
        <v>8</v>
      </c>
    </row>
    <row r="2" spans="1:2" x14ac:dyDescent="0.35">
      <c r="A2" t="s">
        <v>9</v>
      </c>
    </row>
    <row r="3" spans="1:2" x14ac:dyDescent="0.35">
      <c r="A3" t="s">
        <v>10</v>
      </c>
    </row>
    <row r="4" spans="1:2" x14ac:dyDescent="0.35">
      <c r="A4" t="s">
        <v>11</v>
      </c>
    </row>
    <row r="5" spans="1:2" x14ac:dyDescent="0.35">
      <c r="A5" t="s">
        <v>12</v>
      </c>
      <c r="B5" t="s">
        <v>13</v>
      </c>
    </row>
    <row r="6" spans="1:2" x14ac:dyDescent="0.35">
      <c r="A6" t="s">
        <v>14</v>
      </c>
    </row>
    <row r="7" spans="1:2" x14ac:dyDescent="0.35">
      <c r="A7" t="s">
        <v>15</v>
      </c>
    </row>
    <row r="8" spans="1:2" x14ac:dyDescent="0.35">
      <c r="A8" t="s">
        <v>16</v>
      </c>
    </row>
    <row r="10" spans="1:2" x14ac:dyDescent="0.35">
      <c r="A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3" x14ac:dyDescent="0.35">
      <c r="A17" t="s">
        <v>30</v>
      </c>
      <c r="B17" t="s">
        <v>31</v>
      </c>
      <c r="C17" t="s">
        <v>32</v>
      </c>
    </row>
    <row r="18" spans="1:3" x14ac:dyDescent="0.35">
      <c r="A18" t="s">
        <v>33</v>
      </c>
      <c r="B18" t="s">
        <v>19</v>
      </c>
    </row>
    <row r="19" spans="1:3" x14ac:dyDescent="0.35">
      <c r="A19" t="s">
        <v>34</v>
      </c>
      <c r="B19" t="s">
        <v>21</v>
      </c>
    </row>
    <row r="20" spans="1:3" x14ac:dyDescent="0.35">
      <c r="A20" t="s">
        <v>35</v>
      </c>
      <c r="B20" t="s">
        <v>23</v>
      </c>
    </row>
    <row r="21" spans="1:3" x14ac:dyDescent="0.35">
      <c r="A21" t="s">
        <v>36</v>
      </c>
      <c r="B21" t="s">
        <v>25</v>
      </c>
    </row>
    <row r="22" spans="1:3" x14ac:dyDescent="0.35">
      <c r="A22" t="s">
        <v>37</v>
      </c>
      <c r="B22" t="s">
        <v>27</v>
      </c>
    </row>
    <row r="23" spans="1:3" x14ac:dyDescent="0.35">
      <c r="A23" t="s">
        <v>38</v>
      </c>
      <c r="B23" t="s">
        <v>29</v>
      </c>
    </row>
    <row r="24" spans="1:3" x14ac:dyDescent="0.35">
      <c r="A24" t="s">
        <v>39</v>
      </c>
      <c r="B24" t="s">
        <v>31</v>
      </c>
      <c r="C24" t="s">
        <v>32</v>
      </c>
    </row>
    <row r="25" spans="1:3" x14ac:dyDescent="0.35">
      <c r="A25" t="s">
        <v>40</v>
      </c>
      <c r="B25" t="s">
        <v>41</v>
      </c>
    </row>
    <row r="26" spans="1:3" x14ac:dyDescent="0.35">
      <c r="A26" t="s">
        <v>42</v>
      </c>
      <c r="B26" t="s">
        <v>41</v>
      </c>
    </row>
    <row r="27" spans="1:3" x14ac:dyDescent="0.35">
      <c r="A27" t="s">
        <v>43</v>
      </c>
      <c r="B27" t="s">
        <v>44</v>
      </c>
      <c r="C27" t="s">
        <v>32</v>
      </c>
    </row>
    <row r="28" spans="1:3" x14ac:dyDescent="0.35">
      <c r="A28" t="s">
        <v>45</v>
      </c>
      <c r="B28" t="s">
        <v>44</v>
      </c>
      <c r="C28" t="s">
        <v>32</v>
      </c>
    </row>
    <row r="29" spans="1:3" x14ac:dyDescent="0.35">
      <c r="A29" t="s">
        <v>46</v>
      </c>
      <c r="B29" t="s">
        <v>47</v>
      </c>
    </row>
    <row r="30" spans="1:3" x14ac:dyDescent="0.35">
      <c r="A30" t="s">
        <v>48</v>
      </c>
      <c r="B30" t="s">
        <v>49</v>
      </c>
    </row>
    <row r="31" spans="1:3" x14ac:dyDescent="0.35">
      <c r="A31" t="s">
        <v>50</v>
      </c>
      <c r="B31" t="s">
        <v>47</v>
      </c>
    </row>
    <row r="32" spans="1:3" x14ac:dyDescent="0.35">
      <c r="A32" t="s">
        <v>51</v>
      </c>
      <c r="B32" t="s">
        <v>49</v>
      </c>
    </row>
    <row r="33" spans="1:2" x14ac:dyDescent="0.35">
      <c r="A33" t="s">
        <v>52</v>
      </c>
      <c r="B33" t="s">
        <v>53</v>
      </c>
    </row>
    <row r="34" spans="1:2" x14ac:dyDescent="0.35">
      <c r="A34" t="s">
        <v>54</v>
      </c>
      <c r="B34" t="s">
        <v>55</v>
      </c>
    </row>
    <row r="35" spans="1:2" x14ac:dyDescent="0.35">
      <c r="A35" t="s">
        <v>56</v>
      </c>
      <c r="B35" t="s">
        <v>57</v>
      </c>
    </row>
    <row r="36" spans="1:2" x14ac:dyDescent="0.35">
      <c r="A36" t="s">
        <v>58</v>
      </c>
      <c r="B36" t="s">
        <v>59</v>
      </c>
    </row>
    <row r="37" spans="1:2" x14ac:dyDescent="0.35">
      <c r="A37" t="s">
        <v>60</v>
      </c>
      <c r="B37" t="s">
        <v>61</v>
      </c>
    </row>
    <row r="38" spans="1:2" x14ac:dyDescent="0.35">
      <c r="A38" t="s">
        <v>62</v>
      </c>
      <c r="B38" t="s">
        <v>61</v>
      </c>
    </row>
    <row r="39" spans="1:2" x14ac:dyDescent="0.35">
      <c r="A39" t="s">
        <v>63</v>
      </c>
      <c r="B39" t="s">
        <v>64</v>
      </c>
    </row>
    <row r="40" spans="1:2" x14ac:dyDescent="0.35">
      <c r="A40" t="s">
        <v>65</v>
      </c>
      <c r="B40" t="s">
        <v>55</v>
      </c>
    </row>
    <row r="41" spans="1:2" x14ac:dyDescent="0.35">
      <c r="A41" t="s">
        <v>66</v>
      </c>
      <c r="B41" t="s">
        <v>67</v>
      </c>
    </row>
    <row r="42" spans="1:2" x14ac:dyDescent="0.35">
      <c r="A42" t="s">
        <v>68</v>
      </c>
      <c r="B42" t="s">
        <v>69</v>
      </c>
    </row>
    <row r="43" spans="1:2" x14ac:dyDescent="0.35">
      <c r="A43" t="s">
        <v>70</v>
      </c>
      <c r="B43" t="s">
        <v>71</v>
      </c>
    </row>
    <row r="44" spans="1:2" x14ac:dyDescent="0.35">
      <c r="A44" t="s">
        <v>56</v>
      </c>
      <c r="B4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sheet</vt:lpstr>
      <vt:lpstr>XDO_METADATA</vt:lpstr>
      <vt:lpstr>XDO_?XDOFIELD1?</vt:lpstr>
      <vt:lpstr>XDO_?XDOFIELD15?</vt:lpstr>
      <vt:lpstr>XDO_?XDOFIELD2?</vt:lpstr>
      <vt:lpstr>XDO_?XDOFIELD21?</vt:lpstr>
      <vt:lpstr>XDO_?XDOFIELD22?</vt:lpstr>
      <vt:lpstr>XDO_?XDOFIELD24?</vt:lpstr>
      <vt:lpstr>XDO_?XDOFIELD27?</vt:lpstr>
      <vt:lpstr>XDO_?XDOFIELD28?</vt:lpstr>
      <vt:lpstr>XDO_?XDOFIELD29?</vt:lpstr>
      <vt:lpstr>XDO_?XDOFIELD4?</vt:lpstr>
      <vt:lpstr>XDO_?XDOFIELD6?</vt:lpstr>
      <vt:lpstr>XDO_?XDOFIELD7?</vt:lpstr>
      <vt:lpstr>XDO_GROUP_?XDOG3?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Baradie</dc:creator>
  <cp:lastModifiedBy>Dana Baradie</cp:lastModifiedBy>
  <dcterms:created xsi:type="dcterms:W3CDTF">2026-07-28T07:36:34Z</dcterms:created>
  <dcterms:modified xsi:type="dcterms:W3CDTF">2026-10-11T07:25:49Z</dcterms:modified>
</cp:coreProperties>
</file>